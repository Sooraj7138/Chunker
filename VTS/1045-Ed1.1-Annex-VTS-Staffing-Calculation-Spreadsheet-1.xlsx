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Y:\PUBLICATIONS\Guidelines\IN FORCE\"/>
    </mc:Choice>
  </mc:AlternateContent>
  <bookViews>
    <workbookView xWindow="0" yWindow="0" windowWidth="28800" windowHeight="12375"/>
  </bookViews>
  <sheets>
    <sheet name="Sheet1" sheetId="1" r:id="rId1"/>
  </sheets>
  <definedNames>
    <definedName name="_Hlk519960018" localSheetId="0">Sheet1!$J$20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3" i="1" l="1"/>
  <c r="N10" i="1" l="1"/>
  <c r="O11" i="1" s="1"/>
  <c r="T16" i="1"/>
  <c r="B12" i="1"/>
  <c r="B11" i="1"/>
  <c r="B10" i="1"/>
  <c r="P12" i="1" l="1"/>
  <c r="R14" i="1" s="1"/>
  <c r="S15" i="1" s="1"/>
  <c r="U17" i="1" s="1"/>
  <c r="V18" i="1" s="1"/>
</calcChain>
</file>

<file path=xl/sharedStrings.xml><?xml version="1.0" encoding="utf-8"?>
<sst xmlns="http://schemas.openxmlformats.org/spreadsheetml/2006/main" count="74" uniqueCount="69">
  <si>
    <t>a</t>
  </si>
  <si>
    <t>b</t>
  </si>
  <si>
    <t>c</t>
  </si>
  <si>
    <t>d</t>
  </si>
  <si>
    <t>e</t>
  </si>
  <si>
    <t>f</t>
  </si>
  <si>
    <t>g</t>
  </si>
  <si>
    <t>h</t>
  </si>
  <si>
    <t>k</t>
  </si>
  <si>
    <t>T</t>
  </si>
  <si>
    <t>actual days per week</t>
  </si>
  <si>
    <t>actual days per year</t>
  </si>
  <si>
    <t>hours per day</t>
  </si>
  <si>
    <t>Total no of VTSOs reqd</t>
  </si>
  <si>
    <t>number of VTSOs required per VTS workstation</t>
  </si>
  <si>
    <t>hours leave per year</t>
  </si>
  <si>
    <t>hours sickness per year</t>
  </si>
  <si>
    <t>hours training per year</t>
  </si>
  <si>
    <t>hours available per year</t>
  </si>
  <si>
    <t>actual hours per year</t>
  </si>
  <si>
    <t>total hours lost per year</t>
  </si>
  <si>
    <t>Calculated</t>
  </si>
  <si>
    <t>i</t>
  </si>
  <si>
    <t>j</t>
  </si>
  <si>
    <t>l</t>
  </si>
  <si>
    <t>m</t>
  </si>
  <si>
    <t>n</t>
  </si>
  <si>
    <t>o</t>
  </si>
  <si>
    <t>p</t>
  </si>
  <si>
    <t>q</t>
  </si>
  <si>
    <t>r</t>
  </si>
  <si>
    <t>l = k - (f + g + h)</t>
  </si>
  <si>
    <t>m = l / e</t>
  </si>
  <si>
    <t>k = d * (c / b)</t>
  </si>
  <si>
    <t>working shifts per year</t>
  </si>
  <si>
    <t>total hours lost per shift</t>
  </si>
  <si>
    <t>total duty hours per VTSO per work stn per year</t>
  </si>
  <si>
    <t>normal hours per shift</t>
  </si>
  <si>
    <t>Normally fixed for a 24/7/365 VTS</t>
  </si>
  <si>
    <t>number of operational VTS work stations</t>
  </si>
  <si>
    <t>Individual hrs per yr before deductions</t>
  </si>
  <si>
    <t>Individual (contracted) hours per working week</t>
  </si>
  <si>
    <t>individual mins lost per shift (break &amp; h/o)</t>
  </si>
  <si>
    <t>o = m * n</t>
  </si>
  <si>
    <t>p = l - o</t>
  </si>
  <si>
    <t>q = a * c</t>
  </si>
  <si>
    <t>r = q / p</t>
  </si>
  <si>
    <t>T = r * j</t>
  </si>
  <si>
    <t>Individual hours lost per shift (break &amp; h/o)</t>
  </si>
  <si>
    <t>n = i  / 60</t>
  </si>
  <si>
    <t>Data fields requiring user input:</t>
  </si>
  <si>
    <t>Data fields automatically calculated by this spreadsheet:</t>
  </si>
  <si>
    <t>Stage</t>
  </si>
  <si>
    <r>
      <t>Variable</t>
    </r>
    <r>
      <rPr>
        <i/>
        <sz val="10"/>
        <color theme="1"/>
        <rFont val="Calibri"/>
        <family val="2"/>
        <scheme val="minor"/>
      </rPr>
      <t xml:space="preserve"> (default values entered - amend as required)</t>
    </r>
  </si>
  <si>
    <t>IALA Guideline 1045 Annex A - VTS Staffing Calculation Spreadsheet</t>
  </si>
  <si>
    <t>See Notes below</t>
  </si>
  <si>
    <t>3</t>
  </si>
  <si>
    <t>4</t>
  </si>
  <si>
    <t>5</t>
  </si>
  <si>
    <t>6</t>
  </si>
  <si>
    <t>Key:</t>
  </si>
  <si>
    <t>Notes:</t>
  </si>
  <si>
    <t>1.  Individual (contracted) hours per working week ('d') are the terms of employment for an individual VTSO or Supervisor; typically, between 35 – 45 hrs per week.</t>
  </si>
  <si>
    <t>2.  Normal hours per shift ('e') is typically 6 – 12 hours.</t>
  </si>
  <si>
    <t>3.  Hours leave per year ('f') should be based on the number of days leave granted multiplied only by the shift hours per day (not the full 24 hours).</t>
  </si>
  <si>
    <t>4.  Hours sickness per year ('g') is an estimate based on historic records and averaged across the VTS department.</t>
  </si>
  <si>
    <t>5.  Hours training per year ('h') should include the training hours scheduled for the year.</t>
  </si>
  <si>
    <t>6.  Individual minutes lost per shift for meals, handovers and breaks etc ('i') should be based only on the individual.  This will generate the necessary increase in staff required to enable staff rotation.</t>
  </si>
  <si>
    <t>Label:</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</si>
</sst>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1"/>
      <color rgb="FF9C0006"/>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u/>
      <sz val="11"/>
      <color theme="1"/>
      <name val="Calibri"/>
      <family val="2"/>
      <scheme val="minor"/>
    </font>
    <font>
      <b/>
      <u/>
      <sz val="10"/>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sz val="10"/>
      <name val="Calibri"/>
      <family val="2"/>
      <scheme val="minor"/>
    </font>
    <font>
      <b/>
      <sz val="10"/>
      <color rgb="FF3F3F76"/>
      <name val="Calibri"/>
      <family val="2"/>
      <scheme val="minor"/>
    </font>
    <font>
      <i/>
      <sz val="10"/>
      <color theme="1"/>
      <name val="Calibri"/>
      <family val="2"/>
      <scheme val="minor"/>
    </font>
    <font>
      <b/>
      <i/>
      <sz val="11"/>
      <color theme="1"/>
      <name val="Calibri"/>
      <family val="2"/>
      <scheme val="minor"/>
    </font>
    <font>
      <b/>
      <i/>
      <sz val="10"/>
      <color theme="1"/>
      <name val="Calibri"/>
      <family val="2"/>
      <scheme val="minor"/>
    </font>
    <font>
      <i/>
      <sz val="11"/>
      <color theme="1"/>
      <name val="Calibri"/>
      <family val="2"/>
      <scheme val="minor"/>
    </font>
    <font>
      <b/>
      <sz val="11"/>
      <name val="Calibri"/>
      <family val="2"/>
      <scheme val="minor"/>
    </font>
  </fonts>
  <fills count="7">
    <fill>
      <patternFill patternType="none"/>
    </fill>
    <fill>
      <patternFill patternType="gray125"/>
    </fill>
    <fill>
      <patternFill patternType="solid">
        <fgColor rgb="FFFFC7CE"/>
      </patternFill>
    </fill>
    <fill>
      <patternFill patternType="solid">
        <fgColor rgb="FFFFCC99"/>
      </patternFill>
    </fill>
    <fill>
      <patternFill patternType="solid">
        <fgColor rgb="FF92D050"/>
        <bgColor indexed="64"/>
      </patternFill>
    </fill>
    <fill>
      <patternFill patternType="solid">
        <fgColor rgb="FFFFFF00"/>
        <bgColor indexed="64"/>
      </patternFill>
    </fill>
    <fill>
      <patternFill patternType="solid">
        <fgColor rgb="FFFF330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2" borderId="0" applyNumberFormat="0" applyBorder="0" applyAlignment="0" applyProtection="0"/>
    <xf numFmtId="0" fontId="2" fillId="3" borderId="1" applyNumberFormat="0" applyAlignment="0" applyProtection="0"/>
  </cellStyleXfs>
  <cellXfs count="91">
    <xf numFmtId="0" fontId="0" fillId="0" borderId="0" xfId="0"/>
    <xf numFmtId="0" fontId="5" fillId="0" borderId="0" xfId="0" applyFont="1" applyAlignment="1">
      <alignment horizontal="left" vertical="top"/>
    </xf>
    <xf numFmtId="0" fontId="6" fillId="0" borderId="0" xfId="0" applyFont="1" applyAlignment="1">
      <alignment horizontal="left" wrapText="1"/>
    </xf>
    <xf numFmtId="0" fontId="5" fillId="0" borderId="0" xfId="0" applyFont="1" applyAlignment="1">
      <alignment horizontal="left" vertical="top" wrapText="1"/>
    </xf>
    <xf numFmtId="0" fontId="4" fillId="0" borderId="0" xfId="0" applyFont="1"/>
    <xf numFmtId="0" fontId="0" fillId="0" borderId="0" xfId="0" applyAlignment="1">
      <alignment horizontal="center" vertical="top"/>
    </xf>
    <xf numFmtId="0" fontId="7" fillId="0" borderId="0" xfId="0" applyFont="1" applyAlignment="1">
      <alignment horizontal="left" wrapText="1"/>
    </xf>
    <xf numFmtId="0" fontId="0" fillId="0" borderId="0" xfId="0" applyAlignment="1">
      <alignment horizontal="left" vertical="top" wrapText="1"/>
    </xf>
    <xf numFmtId="0" fontId="8" fillId="4" borderId="0" xfId="0" applyFont="1" applyFill="1" applyAlignment="1">
      <alignment horizontal="center" vertical="top" wrapText="1"/>
    </xf>
    <xf numFmtId="2" fontId="8" fillId="0" borderId="0" xfId="0" applyNumberFormat="1" applyFont="1" applyAlignment="1">
      <alignment horizontal="left" wrapText="1"/>
    </xf>
    <xf numFmtId="2" fontId="4" fillId="0" borderId="0" xfId="0" applyNumberFormat="1" applyFont="1" applyAlignment="1">
      <alignment horizontal="left" vertical="top" wrapText="1"/>
    </xf>
    <xf numFmtId="2" fontId="4" fillId="5" borderId="0" xfId="0" applyNumberFormat="1" applyFont="1" applyFill="1" applyAlignment="1">
      <alignment horizontal="center"/>
    </xf>
    <xf numFmtId="1" fontId="4" fillId="5" borderId="0" xfId="0" applyNumberFormat="1" applyFont="1" applyFill="1" applyAlignment="1">
      <alignment horizontal="center"/>
    </xf>
    <xf numFmtId="1" fontId="4" fillId="0" borderId="0" xfId="0" applyNumberFormat="1" applyFont="1" applyAlignment="1">
      <alignment horizontal="center"/>
    </xf>
    <xf numFmtId="1" fontId="4" fillId="6" borderId="0" xfId="0" applyNumberFormat="1" applyFont="1" applyFill="1" applyAlignment="1">
      <alignment horizontal="center"/>
    </xf>
    <xf numFmtId="1" fontId="4" fillId="4" borderId="0" xfId="0" applyNumberFormat="1" applyFont="1" applyFill="1" applyAlignment="1">
      <alignment horizontal="center"/>
    </xf>
    <xf numFmtId="2" fontId="4" fillId="0" borderId="0" xfId="0" applyNumberFormat="1" applyFont="1" applyAlignment="1">
      <alignment horizontal="center"/>
    </xf>
    <xf numFmtId="2" fontId="7" fillId="0" borderId="0" xfId="0" applyNumberFormat="1" applyFont="1" applyAlignment="1">
      <alignment horizontal="left" wrapText="1"/>
    </xf>
    <xf numFmtId="2" fontId="0" fillId="0" borderId="0" xfId="0" applyNumberFormat="1" applyAlignment="1">
      <alignment horizontal="left" vertical="top" wrapText="1"/>
    </xf>
    <xf numFmtId="2" fontId="0" fillId="0" borderId="0" xfId="0" applyNumberFormat="1" applyFont="1" applyAlignment="1">
      <alignment horizontal="center"/>
    </xf>
    <xf numFmtId="2" fontId="4" fillId="4" borderId="0" xfId="0" applyNumberFormat="1" applyFont="1" applyFill="1" applyAlignment="1">
      <alignment horizontal="center"/>
    </xf>
    <xf numFmtId="1" fontId="0" fillId="0" borderId="0" xfId="0" applyNumberFormat="1" applyAlignment="1">
      <alignment horizontal="center" vertical="top"/>
    </xf>
    <xf numFmtId="1" fontId="0" fillId="0" borderId="0" xfId="0" applyNumberFormat="1" applyAlignment="1">
      <alignment horizontal="left" vertical="top" wrapText="1"/>
    </xf>
    <xf numFmtId="2" fontId="0" fillId="4" borderId="0" xfId="0" applyNumberFormat="1" applyFont="1" applyFill="1" applyAlignment="1">
      <alignment horizontal="center"/>
    </xf>
    <xf numFmtId="1" fontId="9" fillId="0" borderId="0" xfId="0" applyNumberFormat="1" applyFont="1" applyFill="1" applyAlignment="1">
      <alignment horizontal="center" vertical="top"/>
    </xf>
    <xf numFmtId="1" fontId="9" fillId="0" borderId="0" xfId="0" applyNumberFormat="1" applyFont="1" applyFill="1" applyAlignment="1">
      <alignment horizontal="left" vertical="top" wrapText="1"/>
    </xf>
    <xf numFmtId="2" fontId="0" fillId="0" borderId="0" xfId="0" applyNumberFormat="1" applyFont="1" applyFill="1" applyAlignment="1">
      <alignment horizontal="center"/>
    </xf>
    <xf numFmtId="2" fontId="3" fillId="0" borderId="0" xfId="0" applyNumberFormat="1" applyFont="1" applyFill="1" applyAlignment="1">
      <alignment horizontal="center"/>
    </xf>
    <xf numFmtId="1" fontId="7" fillId="0" borderId="0" xfId="0" applyNumberFormat="1" applyFont="1" applyAlignment="1">
      <alignment horizontal="left" vertical="top" wrapText="1"/>
    </xf>
    <xf numFmtId="1" fontId="10" fillId="0" borderId="0" xfId="0" applyNumberFormat="1" applyFont="1" applyFill="1" applyAlignment="1">
      <alignment horizontal="left" vertical="top" wrapText="1"/>
    </xf>
    <xf numFmtId="1" fontId="4" fillId="0" borderId="0" xfId="0" applyNumberFormat="1" applyFont="1" applyAlignment="1">
      <alignment horizontal="center" vertical="top"/>
    </xf>
    <xf numFmtId="1" fontId="8" fillId="0" borderId="0" xfId="0" applyNumberFormat="1" applyFont="1" applyAlignment="1">
      <alignment horizontal="left" vertical="top" wrapText="1"/>
    </xf>
    <xf numFmtId="1" fontId="4" fillId="0" borderId="0" xfId="0" applyNumberFormat="1" applyFont="1" applyAlignment="1">
      <alignment horizontal="left" vertical="top" wrapText="1"/>
    </xf>
    <xf numFmtId="2" fontId="0" fillId="0" borderId="0" xfId="0" applyNumberFormat="1"/>
    <xf numFmtId="2" fontId="4" fillId="6" borderId="0" xfId="0" applyNumberFormat="1" applyFont="1" applyFill="1" applyAlignment="1">
      <alignment horizontal="center"/>
    </xf>
    <xf numFmtId="0" fontId="4" fillId="0" borderId="0" xfId="0" applyFont="1" applyAlignment="1">
      <alignment horizontal="center" vertical="top"/>
    </xf>
    <xf numFmtId="0" fontId="8" fillId="0" borderId="0" xfId="0" applyFont="1" applyAlignment="1">
      <alignment horizontal="left" vertical="top" wrapText="1"/>
    </xf>
    <xf numFmtId="0" fontId="8" fillId="0" borderId="0" xfId="0" applyFont="1" applyAlignment="1">
      <alignment horizontal="center" vertical="top" wrapText="1"/>
    </xf>
    <xf numFmtId="2" fontId="8" fillId="0" borderId="0" xfId="0" applyNumberFormat="1" applyFont="1" applyAlignment="1">
      <alignment horizontal="center" vertical="top" wrapText="1"/>
    </xf>
    <xf numFmtId="0" fontId="11" fillId="0" borderId="0" xfId="2" applyFont="1" applyFill="1" applyBorder="1" applyAlignment="1">
      <alignment horizontal="center" vertical="top" wrapText="1"/>
    </xf>
    <xf numFmtId="0" fontId="8" fillId="0" borderId="0" xfId="0" applyFont="1" applyFill="1" applyBorder="1" applyAlignment="1">
      <alignment horizontal="center" vertical="top" wrapText="1"/>
    </xf>
    <xf numFmtId="2" fontId="4" fillId="0" borderId="0" xfId="0" applyNumberFormat="1" applyFont="1" applyAlignment="1">
      <alignment horizontal="left" vertical="top"/>
    </xf>
    <xf numFmtId="2" fontId="4" fillId="0" borderId="0" xfId="0" applyNumberFormat="1" applyFont="1" applyFill="1" applyAlignment="1">
      <alignment horizontal="left" vertical="top"/>
    </xf>
    <xf numFmtId="2" fontId="8" fillId="0" borderId="0" xfId="0" applyNumberFormat="1" applyFont="1" applyFill="1" applyAlignment="1">
      <alignment horizontal="left" wrapText="1"/>
    </xf>
    <xf numFmtId="2" fontId="4" fillId="0" borderId="0" xfId="0" applyNumberFormat="1" applyFont="1" applyFill="1" applyAlignment="1">
      <alignment horizontal="left" vertical="top" wrapText="1"/>
    </xf>
    <xf numFmtId="1" fontId="4" fillId="0" borderId="0" xfId="0" applyNumberFormat="1" applyFont="1" applyFill="1" applyAlignment="1">
      <alignment horizontal="center"/>
    </xf>
    <xf numFmtId="2" fontId="4" fillId="0" borderId="0" xfId="0" applyNumberFormat="1" applyFont="1" applyFill="1" applyAlignment="1">
      <alignment horizontal="center"/>
    </xf>
    <xf numFmtId="0" fontId="0" fillId="0" borderId="0" xfId="0" applyFill="1"/>
    <xf numFmtId="0" fontId="9" fillId="0" borderId="0" xfId="1" applyFont="1" applyFill="1" applyAlignment="1">
      <alignment horizontal="center" vertical="top" wrapText="1"/>
    </xf>
    <xf numFmtId="0" fontId="9" fillId="0" borderId="0" xfId="1" applyFont="1" applyFill="1" applyAlignment="1">
      <alignment horizontal="center"/>
    </xf>
    <xf numFmtId="2" fontId="9" fillId="0" borderId="0" xfId="1" applyNumberFormat="1" applyFont="1" applyFill="1" applyAlignment="1">
      <alignment horizontal="center"/>
    </xf>
    <xf numFmtId="2" fontId="13" fillId="0" borderId="0" xfId="0" applyNumberFormat="1" applyFont="1" applyFill="1" applyAlignment="1">
      <alignment horizontal="left" vertical="top"/>
    </xf>
    <xf numFmtId="2" fontId="14" fillId="0" borderId="0" xfId="0" applyNumberFormat="1" applyFont="1" applyFill="1" applyAlignment="1">
      <alignment horizontal="left" wrapText="1"/>
    </xf>
    <xf numFmtId="2" fontId="13" fillId="0" borderId="0" xfId="0" applyNumberFormat="1" applyFont="1" applyFill="1" applyAlignment="1">
      <alignment horizontal="left" vertical="top" wrapText="1"/>
    </xf>
    <xf numFmtId="1" fontId="13" fillId="0" borderId="0" xfId="0" applyNumberFormat="1" applyFont="1" applyFill="1" applyAlignment="1">
      <alignment horizontal="center"/>
    </xf>
    <xf numFmtId="2" fontId="13" fillId="0" borderId="0" xfId="0" applyNumberFormat="1" applyFont="1" applyFill="1" applyAlignment="1">
      <alignment horizontal="center"/>
    </xf>
    <xf numFmtId="1" fontId="13" fillId="4" borderId="0" xfId="0" applyNumberFormat="1" applyFont="1" applyFill="1" applyAlignment="1">
      <alignment horizontal="center"/>
    </xf>
    <xf numFmtId="0" fontId="15" fillId="0" borderId="0" xfId="0" applyFont="1" applyFill="1"/>
    <xf numFmtId="49" fontId="15" fillId="0" borderId="0" xfId="0" applyNumberFormat="1" applyFont="1" applyFill="1" applyAlignment="1">
      <alignment horizontal="left" vertical="top"/>
    </xf>
    <xf numFmtId="49" fontId="12" fillId="0" borderId="0" xfId="0" applyNumberFormat="1" applyFont="1" applyFill="1" applyAlignment="1">
      <alignment horizontal="left" wrapText="1"/>
    </xf>
    <xf numFmtId="49" fontId="15" fillId="0" borderId="0" xfId="0" applyNumberFormat="1" applyFont="1" applyFill="1" applyAlignment="1">
      <alignment horizontal="left" vertical="top" wrapText="1"/>
    </xf>
    <xf numFmtId="49" fontId="15" fillId="0" borderId="0" xfId="0" applyNumberFormat="1" applyFont="1" applyFill="1" applyAlignment="1">
      <alignment horizontal="center"/>
    </xf>
    <xf numFmtId="49" fontId="15" fillId="4" borderId="0" xfId="0" applyNumberFormat="1" applyFont="1" applyFill="1" applyAlignment="1">
      <alignment horizontal="center"/>
    </xf>
    <xf numFmtId="49" fontId="15" fillId="0" borderId="0" xfId="0" applyNumberFormat="1" applyFont="1" applyFill="1"/>
    <xf numFmtId="0" fontId="9" fillId="0" borderId="0" xfId="0" applyFont="1"/>
    <xf numFmtId="0" fontId="9" fillId="0" borderId="2" xfId="0" applyFont="1" applyBorder="1" applyAlignment="1">
      <alignment horizontal="left" vertical="top"/>
    </xf>
    <xf numFmtId="0" fontId="3" fillId="6" borderId="3" xfId="0" applyFont="1" applyFill="1" applyBorder="1"/>
    <xf numFmtId="0" fontId="7" fillId="0" borderId="3" xfId="0" applyFont="1" applyBorder="1"/>
    <xf numFmtId="0" fontId="9" fillId="0" borderId="3" xfId="0" applyFont="1" applyBorder="1"/>
    <xf numFmtId="0" fontId="3" fillId="0" borderId="5" xfId="0" applyFont="1" applyBorder="1" applyAlignment="1">
      <alignment horizontal="left" vertical="top"/>
    </xf>
    <xf numFmtId="0" fontId="0" fillId="5" borderId="0" xfId="0" applyFill="1" applyBorder="1"/>
    <xf numFmtId="0" fontId="7" fillId="0" borderId="0" xfId="0" applyFont="1" applyBorder="1"/>
    <xf numFmtId="0" fontId="0" fillId="0" borderId="0" xfId="0" applyBorder="1"/>
    <xf numFmtId="0" fontId="0" fillId="0" borderId="7" xfId="0" applyBorder="1" applyAlignment="1">
      <alignment horizontal="center" vertical="top"/>
    </xf>
    <xf numFmtId="0" fontId="0" fillId="4" borderId="8" xfId="0" applyFill="1" applyBorder="1"/>
    <xf numFmtId="0" fontId="7" fillId="0" borderId="8" xfId="0" applyFont="1" applyBorder="1"/>
    <xf numFmtId="0" fontId="0" fillId="0" borderId="8" xfId="0" applyBorder="1"/>
    <xf numFmtId="2" fontId="9" fillId="0" borderId="3" xfId="0" applyNumberFormat="1" applyFont="1" applyBorder="1"/>
    <xf numFmtId="2" fontId="0" fillId="0" borderId="0" xfId="0" applyNumberFormat="1" applyBorder="1"/>
    <xf numFmtId="2" fontId="0" fillId="0" borderId="8" xfId="0" applyNumberFormat="1" applyBorder="1"/>
    <xf numFmtId="0" fontId="9" fillId="0" borderId="2" xfId="0" applyFont="1" applyBorder="1"/>
    <xf numFmtId="0" fontId="7" fillId="0" borderId="3" xfId="0" applyFont="1" applyBorder="1" applyAlignment="1">
      <alignment vertical="top"/>
    </xf>
    <xf numFmtId="0" fontId="9" fillId="0" borderId="4" xfId="0" applyFont="1" applyBorder="1"/>
    <xf numFmtId="0" fontId="0" fillId="0" borderId="5" xfId="0" applyBorder="1"/>
    <xf numFmtId="0" fontId="7" fillId="0" borderId="0" xfId="0" applyFont="1" applyBorder="1" applyAlignment="1">
      <alignment vertical="top"/>
    </xf>
    <xf numFmtId="0" fontId="0" fillId="0" borderId="6" xfId="0" applyBorder="1"/>
    <xf numFmtId="0" fontId="0" fillId="0" borderId="7" xfId="0" applyBorder="1"/>
    <xf numFmtId="0" fontId="7" fillId="0" borderId="8" xfId="0" applyFont="1" applyBorder="1" applyAlignment="1">
      <alignment vertical="top"/>
    </xf>
    <xf numFmtId="0" fontId="0" fillId="0" borderId="9" xfId="0" applyBorder="1"/>
    <xf numFmtId="0" fontId="16" fillId="0" borderId="0" xfId="1" applyFont="1" applyFill="1" applyAlignment="1">
      <alignment horizontal="center" wrapText="1"/>
    </xf>
    <xf numFmtId="0" fontId="16" fillId="0" borderId="0" xfId="1" applyFont="1" applyFill="1" applyAlignment="1">
      <alignment horizontal="center"/>
    </xf>
  </cellXfs>
  <cellStyles count="3">
    <cellStyle name="Entrée" xfId="2" builtinId="20"/>
    <cellStyle name="Insatisfaisant"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
  <sheetViews>
    <sheetView tabSelected="1" workbookViewId="0">
      <selection activeCell="G17" sqref="G17"/>
    </sheetView>
  </sheetViews>
  <sheetFormatPr baseColWidth="10" defaultColWidth="9.140625" defaultRowHeight="15" x14ac:dyDescent="0.25"/>
  <cols>
    <col min="1" max="1" width="6.140625" customWidth="1"/>
    <col min="2" max="2" width="20.85546875" customWidth="1"/>
    <col min="3" max="3" width="18.7109375" customWidth="1"/>
    <col min="6" max="6" width="9.140625" style="33"/>
    <col min="7" max="7" width="12.85546875" customWidth="1"/>
    <col min="12" max="12" width="12.7109375" customWidth="1"/>
    <col min="13" max="13" width="10.140625" customWidth="1"/>
    <col min="14" max="14" width="10.42578125" customWidth="1"/>
    <col min="17" max="17" width="11.7109375" customWidth="1"/>
    <col min="18" max="18" width="13.140625" customWidth="1"/>
    <col min="19" max="19" width="13" customWidth="1"/>
    <col min="21" max="21" width="14.7109375" customWidth="1"/>
  </cols>
  <sheetData>
    <row r="1" spans="1:22" x14ac:dyDescent="0.25">
      <c r="A1" s="1" t="s">
        <v>54</v>
      </c>
      <c r="B1" s="2"/>
      <c r="C1" s="3"/>
      <c r="V1" s="4"/>
    </row>
    <row r="2" spans="1:22" x14ac:dyDescent="0.25">
      <c r="A2" s="1"/>
      <c r="B2" s="2"/>
      <c r="C2" s="3"/>
      <c r="V2" s="4"/>
    </row>
    <row r="3" spans="1:22" s="49" customFormat="1" ht="30" x14ac:dyDescent="0.25">
      <c r="A3" s="89" t="s">
        <v>68</v>
      </c>
      <c r="C3" s="48"/>
      <c r="D3" s="49" t="s">
        <v>0</v>
      </c>
      <c r="E3" s="49" t="s">
        <v>1</v>
      </c>
      <c r="F3" s="50" t="s">
        <v>2</v>
      </c>
      <c r="G3" s="49" t="s">
        <v>3</v>
      </c>
      <c r="H3" s="49" t="s">
        <v>4</v>
      </c>
      <c r="I3" s="49" t="s">
        <v>5</v>
      </c>
      <c r="J3" s="49" t="s">
        <v>6</v>
      </c>
      <c r="K3" s="49" t="s">
        <v>7</v>
      </c>
      <c r="L3" s="49" t="s">
        <v>22</v>
      </c>
      <c r="M3" s="49" t="s">
        <v>23</v>
      </c>
      <c r="N3" s="49" t="s">
        <v>8</v>
      </c>
      <c r="O3" s="49" t="s">
        <v>24</v>
      </c>
      <c r="P3" s="49" t="s">
        <v>25</v>
      </c>
      <c r="Q3" s="49" t="s">
        <v>26</v>
      </c>
      <c r="R3" s="49" t="s">
        <v>27</v>
      </c>
      <c r="S3" s="49" t="s">
        <v>28</v>
      </c>
      <c r="T3" s="49" t="s">
        <v>29</v>
      </c>
      <c r="U3" s="49" t="s">
        <v>30</v>
      </c>
      <c r="V3" s="90" t="s">
        <v>9</v>
      </c>
    </row>
    <row r="4" spans="1:22" s="4" customFormat="1" ht="54.75" customHeight="1" x14ac:dyDescent="0.25">
      <c r="B4" s="36"/>
      <c r="C4" s="36"/>
      <c r="D4" s="37" t="s">
        <v>12</v>
      </c>
      <c r="E4" s="37" t="s">
        <v>10</v>
      </c>
      <c r="F4" s="38" t="s">
        <v>11</v>
      </c>
      <c r="G4" s="37" t="s">
        <v>41</v>
      </c>
      <c r="H4" s="39" t="s">
        <v>37</v>
      </c>
      <c r="I4" s="39" t="s">
        <v>15</v>
      </c>
      <c r="J4" s="40" t="s">
        <v>16</v>
      </c>
      <c r="K4" s="40" t="s">
        <v>17</v>
      </c>
      <c r="L4" s="39" t="s">
        <v>42</v>
      </c>
      <c r="M4" s="37" t="s">
        <v>39</v>
      </c>
      <c r="N4" s="37" t="s">
        <v>40</v>
      </c>
      <c r="O4" s="37" t="s">
        <v>18</v>
      </c>
      <c r="P4" s="37" t="s">
        <v>34</v>
      </c>
      <c r="Q4" s="37" t="s">
        <v>48</v>
      </c>
      <c r="R4" s="37" t="s">
        <v>20</v>
      </c>
      <c r="S4" s="37" t="s">
        <v>36</v>
      </c>
      <c r="T4" s="37" t="s">
        <v>19</v>
      </c>
      <c r="U4" s="37" t="s">
        <v>14</v>
      </c>
      <c r="V4" s="8" t="s">
        <v>13</v>
      </c>
    </row>
    <row r="5" spans="1:22" x14ac:dyDescent="0.25">
      <c r="A5" s="41" t="s">
        <v>50</v>
      </c>
      <c r="B5" s="9"/>
      <c r="C5" s="10"/>
      <c r="D5" s="14">
        <v>24</v>
      </c>
      <c r="E5" s="14">
        <v>7</v>
      </c>
      <c r="F5" s="34">
        <v>365.25</v>
      </c>
      <c r="G5" s="11">
        <v>40</v>
      </c>
      <c r="H5" s="12">
        <v>12</v>
      </c>
      <c r="I5" s="12">
        <v>252</v>
      </c>
      <c r="J5" s="11">
        <v>6</v>
      </c>
      <c r="K5" s="11">
        <v>14</v>
      </c>
      <c r="L5" s="11">
        <v>60</v>
      </c>
      <c r="M5" s="12">
        <v>3</v>
      </c>
      <c r="N5" s="13"/>
      <c r="O5" s="16"/>
      <c r="P5" s="13"/>
      <c r="Q5" s="16"/>
      <c r="R5" s="16"/>
      <c r="S5" s="16"/>
      <c r="T5" s="16"/>
      <c r="U5" s="13"/>
      <c r="V5" s="15"/>
    </row>
    <row r="6" spans="1:22" s="63" customFormat="1" x14ac:dyDescent="0.25">
      <c r="A6" s="58" t="s">
        <v>55</v>
      </c>
      <c r="B6" s="59"/>
      <c r="C6" s="60"/>
      <c r="D6" s="61"/>
      <c r="E6" s="61"/>
      <c r="F6" s="61"/>
      <c r="G6" s="61">
        <v>1</v>
      </c>
      <c r="H6" s="61">
        <v>2</v>
      </c>
      <c r="I6" s="61" t="s">
        <v>56</v>
      </c>
      <c r="J6" s="61" t="s">
        <v>57</v>
      </c>
      <c r="K6" s="61" t="s">
        <v>58</v>
      </c>
      <c r="L6" s="61" t="s">
        <v>59</v>
      </c>
      <c r="M6" s="61"/>
      <c r="N6" s="61"/>
      <c r="O6" s="61"/>
      <c r="P6" s="61"/>
      <c r="Q6" s="61"/>
      <c r="R6" s="61"/>
      <c r="S6" s="61"/>
      <c r="T6" s="61"/>
      <c r="U6" s="61"/>
      <c r="V6" s="62"/>
    </row>
    <row r="7" spans="1:22" s="57" customFormat="1" x14ac:dyDescent="0.25">
      <c r="A7" s="51"/>
      <c r="B7" s="52"/>
      <c r="C7" s="53"/>
      <c r="D7" s="54"/>
      <c r="E7" s="54"/>
      <c r="F7" s="55"/>
      <c r="G7" s="55"/>
      <c r="H7" s="54"/>
      <c r="I7" s="54"/>
      <c r="J7" s="55"/>
      <c r="K7" s="55"/>
      <c r="L7" s="55"/>
      <c r="M7" s="54"/>
      <c r="N7" s="54"/>
      <c r="O7" s="55"/>
      <c r="P7" s="54"/>
      <c r="Q7" s="55"/>
      <c r="R7" s="55"/>
      <c r="S7" s="55"/>
      <c r="T7" s="55"/>
      <c r="U7" s="54"/>
      <c r="V7" s="56"/>
    </row>
    <row r="8" spans="1:22" s="47" customFormat="1" x14ac:dyDescent="0.25">
      <c r="A8" s="42" t="s">
        <v>51</v>
      </c>
      <c r="B8" s="43"/>
      <c r="C8" s="44"/>
      <c r="D8" s="45"/>
      <c r="E8" s="45"/>
      <c r="F8" s="46"/>
      <c r="G8" s="46"/>
      <c r="H8" s="45"/>
      <c r="I8" s="45"/>
      <c r="J8" s="46"/>
      <c r="K8" s="46"/>
      <c r="L8" s="46"/>
      <c r="M8" s="45"/>
      <c r="N8" s="45"/>
      <c r="O8" s="46"/>
      <c r="P8" s="45"/>
      <c r="Q8" s="46"/>
      <c r="R8" s="46"/>
      <c r="S8" s="46"/>
      <c r="T8" s="46"/>
      <c r="U8" s="45"/>
      <c r="V8" s="15"/>
    </row>
    <row r="9" spans="1:22" x14ac:dyDescent="0.25">
      <c r="A9" s="35" t="s">
        <v>52</v>
      </c>
      <c r="B9" s="17"/>
      <c r="C9" s="18"/>
      <c r="D9" s="19"/>
      <c r="E9" s="19"/>
      <c r="F9" s="19"/>
      <c r="G9" s="19"/>
      <c r="H9" s="19"/>
      <c r="I9" s="19"/>
      <c r="J9" s="19"/>
      <c r="K9" s="19"/>
      <c r="L9" s="19"/>
      <c r="M9" s="19"/>
      <c r="N9" s="19"/>
      <c r="O9" s="19"/>
      <c r="P9" s="19"/>
      <c r="Q9" s="19"/>
      <c r="R9" s="19"/>
      <c r="S9" s="19"/>
      <c r="T9" s="19"/>
      <c r="U9" s="19"/>
      <c r="V9" s="20"/>
    </row>
    <row r="10" spans="1:22" ht="25.5" customHeight="1" x14ac:dyDescent="0.25">
      <c r="A10" s="21">
        <v>1</v>
      </c>
      <c r="B10" s="28" t="str">
        <f>$N$4</f>
        <v>Individual hrs per yr before deductions</v>
      </c>
      <c r="C10" s="22" t="s">
        <v>33</v>
      </c>
      <c r="D10" s="19"/>
      <c r="E10" s="19"/>
      <c r="F10" s="19"/>
      <c r="G10" s="19"/>
      <c r="H10" s="19"/>
      <c r="I10" s="19"/>
      <c r="J10" s="19"/>
      <c r="K10" s="19"/>
      <c r="L10" s="19"/>
      <c r="M10" s="19"/>
      <c r="N10" s="23">
        <f>G5*(F5/E5)</f>
        <v>2087.1428571428573</v>
      </c>
      <c r="O10" s="19"/>
      <c r="P10" s="19"/>
      <c r="Q10" s="19"/>
      <c r="R10" s="19"/>
      <c r="S10" s="19"/>
      <c r="T10" s="19"/>
      <c r="U10" s="19"/>
      <c r="V10" s="20"/>
    </row>
    <row r="11" spans="1:22" ht="17.25" customHeight="1" x14ac:dyDescent="0.25">
      <c r="A11" s="21">
        <v>2</v>
      </c>
      <c r="B11" s="28" t="str">
        <f>$O$4</f>
        <v>hours available per year</v>
      </c>
      <c r="C11" s="22" t="s">
        <v>31</v>
      </c>
      <c r="D11" s="19"/>
      <c r="E11" s="19"/>
      <c r="F11" s="19"/>
      <c r="G11" s="19"/>
      <c r="H11" s="19"/>
      <c r="I11" s="19"/>
      <c r="J11" s="19"/>
      <c r="K11" s="19"/>
      <c r="L11" s="19"/>
      <c r="M11" s="19"/>
      <c r="N11" s="19"/>
      <c r="O11" s="23">
        <f>N10-(I5+J5+K5)</f>
        <v>1815.1428571428573</v>
      </c>
      <c r="P11" s="19"/>
      <c r="Q11" s="19"/>
      <c r="R11" s="19"/>
      <c r="S11" s="19"/>
      <c r="T11" s="19"/>
      <c r="U11" s="19"/>
      <c r="V11" s="20"/>
    </row>
    <row r="12" spans="1:22" ht="18" customHeight="1" x14ac:dyDescent="0.25">
      <c r="A12" s="21">
        <v>3</v>
      </c>
      <c r="B12" s="28" t="str">
        <f>$P$4</f>
        <v>working shifts per year</v>
      </c>
      <c r="C12" s="22" t="s">
        <v>32</v>
      </c>
      <c r="D12" s="19"/>
      <c r="E12" s="19"/>
      <c r="F12" s="19"/>
      <c r="G12" s="19"/>
      <c r="H12" s="19"/>
      <c r="I12" s="19"/>
      <c r="J12" s="19"/>
      <c r="K12" s="19"/>
      <c r="L12" s="19"/>
      <c r="M12" s="19"/>
      <c r="N12" s="19"/>
      <c r="O12" s="19"/>
      <c r="P12" s="23">
        <f>O11/H5</f>
        <v>151.26190476190479</v>
      </c>
      <c r="Q12" s="19"/>
      <c r="R12" s="19"/>
      <c r="S12" s="19"/>
      <c r="T12" s="19"/>
      <c r="U12" s="19"/>
      <c r="V12" s="20"/>
    </row>
    <row r="13" spans="1:22" ht="24.75" customHeight="1" x14ac:dyDescent="0.25">
      <c r="A13" s="24">
        <v>4</v>
      </c>
      <c r="B13" s="29" t="s">
        <v>35</v>
      </c>
      <c r="C13" s="25" t="s">
        <v>49</v>
      </c>
      <c r="D13" s="26"/>
      <c r="E13" s="26"/>
      <c r="F13" s="26"/>
      <c r="G13" s="26"/>
      <c r="H13" s="26"/>
      <c r="I13" s="26"/>
      <c r="J13" s="26"/>
      <c r="K13" s="26"/>
      <c r="L13" s="26"/>
      <c r="M13" s="26"/>
      <c r="N13" s="26"/>
      <c r="O13" s="26"/>
      <c r="P13" s="27"/>
      <c r="Q13" s="23">
        <f>L5/60</f>
        <v>1</v>
      </c>
      <c r="R13" s="26"/>
      <c r="S13" s="26"/>
      <c r="T13" s="26"/>
      <c r="U13" s="26"/>
      <c r="V13" s="20"/>
    </row>
    <row r="14" spans="1:22" x14ac:dyDescent="0.25">
      <c r="A14" s="21">
        <v>5</v>
      </c>
      <c r="B14" s="28" t="s">
        <v>20</v>
      </c>
      <c r="C14" s="22" t="s">
        <v>43</v>
      </c>
      <c r="D14" s="19"/>
      <c r="E14" s="19"/>
      <c r="F14" s="19"/>
      <c r="G14" s="19"/>
      <c r="H14" s="19"/>
      <c r="I14" s="19"/>
      <c r="J14" s="19"/>
      <c r="K14" s="19"/>
      <c r="L14" s="19"/>
      <c r="M14" s="19"/>
      <c r="N14" s="19"/>
      <c r="O14" s="19"/>
      <c r="P14" s="19"/>
      <c r="Q14" s="19"/>
      <c r="R14" s="23">
        <f>P12*Q13</f>
        <v>151.26190476190479</v>
      </c>
      <c r="S14" s="19"/>
      <c r="T14" s="19"/>
      <c r="U14" s="19"/>
      <c r="V14" s="20"/>
    </row>
    <row r="15" spans="1:22" ht="29.25" customHeight="1" x14ac:dyDescent="0.25">
      <c r="A15" s="21">
        <v>6</v>
      </c>
      <c r="B15" s="28" t="s">
        <v>36</v>
      </c>
      <c r="C15" s="22" t="s">
        <v>44</v>
      </c>
      <c r="D15" s="19"/>
      <c r="E15" s="19"/>
      <c r="F15" s="19"/>
      <c r="G15" s="19"/>
      <c r="H15" s="19"/>
      <c r="I15" s="19"/>
      <c r="J15" s="19"/>
      <c r="K15" s="19"/>
      <c r="L15" s="19"/>
      <c r="M15" s="19"/>
      <c r="N15" s="19"/>
      <c r="O15" s="19"/>
      <c r="P15" s="19"/>
      <c r="Q15" s="19"/>
      <c r="R15" s="19"/>
      <c r="S15" s="23">
        <f>(O11-R14)</f>
        <v>1663.8809523809525</v>
      </c>
      <c r="T15" s="19"/>
      <c r="U15" s="19"/>
      <c r="V15" s="20"/>
    </row>
    <row r="16" spans="1:22" x14ac:dyDescent="0.25">
      <c r="A16" s="21">
        <v>7</v>
      </c>
      <c r="B16" s="28" t="s">
        <v>19</v>
      </c>
      <c r="C16" s="22" t="s">
        <v>45</v>
      </c>
      <c r="D16" s="19"/>
      <c r="E16" s="19"/>
      <c r="F16" s="19"/>
      <c r="G16" s="19"/>
      <c r="H16" s="19"/>
      <c r="I16" s="19"/>
      <c r="J16" s="19"/>
      <c r="K16" s="19"/>
      <c r="L16" s="19"/>
      <c r="M16" s="19"/>
      <c r="N16" s="19"/>
      <c r="O16" s="19"/>
      <c r="P16" s="19"/>
      <c r="Q16" s="19"/>
      <c r="R16" s="19"/>
      <c r="S16" s="19"/>
      <c r="T16" s="23">
        <f>D5*F5</f>
        <v>8766</v>
      </c>
      <c r="U16" s="19"/>
      <c r="V16" s="20"/>
    </row>
    <row r="17" spans="1:22" ht="38.25" x14ac:dyDescent="0.25">
      <c r="A17" s="21">
        <v>8</v>
      </c>
      <c r="B17" s="28" t="s">
        <v>14</v>
      </c>
      <c r="C17" s="22" t="s">
        <v>46</v>
      </c>
      <c r="D17" s="19"/>
      <c r="E17" s="19"/>
      <c r="F17" s="19"/>
      <c r="G17" s="19"/>
      <c r="H17" s="19"/>
      <c r="I17" s="19"/>
      <c r="J17" s="19"/>
      <c r="K17" s="19"/>
      <c r="L17" s="19"/>
      <c r="M17" s="19"/>
      <c r="N17" s="19"/>
      <c r="O17" s="19"/>
      <c r="P17" s="19"/>
      <c r="Q17" s="19"/>
      <c r="R17" s="19"/>
      <c r="S17" s="19"/>
      <c r="T17" s="19"/>
      <c r="U17" s="23">
        <f>T16/S15</f>
        <v>5.2684057639196942</v>
      </c>
      <c r="V17" s="20"/>
    </row>
    <row r="18" spans="1:22" s="4" customFormat="1" ht="21.75" customHeight="1" x14ac:dyDescent="0.25">
      <c r="A18" s="30">
        <v>9</v>
      </c>
      <c r="B18" s="31" t="s">
        <v>13</v>
      </c>
      <c r="C18" s="32" t="s">
        <v>47</v>
      </c>
      <c r="D18" s="16"/>
      <c r="E18" s="16"/>
      <c r="F18" s="16"/>
      <c r="G18" s="16"/>
      <c r="H18" s="16"/>
      <c r="I18" s="16"/>
      <c r="J18" s="16"/>
      <c r="K18" s="16"/>
      <c r="L18" s="16"/>
      <c r="M18" s="16"/>
      <c r="N18" s="16"/>
      <c r="O18" s="16"/>
      <c r="P18" s="16"/>
      <c r="Q18" s="16"/>
      <c r="R18" s="16"/>
      <c r="S18" s="16"/>
      <c r="T18" s="16"/>
      <c r="U18" s="16"/>
      <c r="V18" s="20">
        <f>U17*M5</f>
        <v>15.805217291759082</v>
      </c>
    </row>
    <row r="19" spans="1:22" s="4" customFormat="1" ht="12.75" customHeight="1" x14ac:dyDescent="0.25">
      <c r="A19" s="30"/>
      <c r="B19" s="31"/>
      <c r="C19" s="32"/>
      <c r="D19" s="16"/>
      <c r="E19" s="16"/>
      <c r="F19" s="16"/>
      <c r="G19" s="16"/>
      <c r="H19" s="16"/>
      <c r="I19" s="16"/>
      <c r="J19" s="16"/>
      <c r="K19" s="16"/>
      <c r="L19" s="16"/>
      <c r="M19" s="16"/>
      <c r="N19" s="16"/>
      <c r="O19" s="16"/>
      <c r="P19" s="16"/>
      <c r="Q19" s="16"/>
      <c r="R19" s="16"/>
      <c r="S19" s="16"/>
      <c r="T19" s="16"/>
      <c r="U19" s="16"/>
      <c r="V19" s="20"/>
    </row>
    <row r="20" spans="1:22" s="64" customFormat="1" x14ac:dyDescent="0.25">
      <c r="A20" s="65" t="s">
        <v>60</v>
      </c>
      <c r="B20" s="66"/>
      <c r="C20" s="67" t="s">
        <v>38</v>
      </c>
      <c r="D20" s="68"/>
      <c r="E20" s="68"/>
      <c r="F20" s="77"/>
      <c r="G20" s="80" t="s">
        <v>61</v>
      </c>
      <c r="H20" s="81" t="s">
        <v>62</v>
      </c>
      <c r="I20" s="68"/>
      <c r="J20" s="68"/>
      <c r="K20" s="68"/>
      <c r="L20" s="68"/>
      <c r="M20" s="68"/>
      <c r="N20" s="68"/>
      <c r="O20" s="68"/>
      <c r="P20" s="68"/>
      <c r="Q20" s="68"/>
      <c r="R20" s="68"/>
      <c r="S20" s="68"/>
      <c r="T20" s="68"/>
      <c r="U20" s="68"/>
      <c r="V20" s="82"/>
    </row>
    <row r="21" spans="1:22" x14ac:dyDescent="0.25">
      <c r="A21" s="69"/>
      <c r="B21" s="70"/>
      <c r="C21" s="71" t="s">
        <v>53</v>
      </c>
      <c r="D21" s="72"/>
      <c r="E21" s="72"/>
      <c r="F21" s="78"/>
      <c r="G21" s="83"/>
      <c r="H21" s="84" t="s">
        <v>63</v>
      </c>
      <c r="I21" s="72"/>
      <c r="J21" s="72"/>
      <c r="K21" s="72"/>
      <c r="L21" s="72"/>
      <c r="M21" s="72"/>
      <c r="N21" s="72"/>
      <c r="O21" s="72"/>
      <c r="P21" s="72"/>
      <c r="Q21" s="72"/>
      <c r="R21" s="72"/>
      <c r="S21" s="72"/>
      <c r="T21" s="72"/>
      <c r="U21" s="72"/>
      <c r="V21" s="85"/>
    </row>
    <row r="22" spans="1:22" x14ac:dyDescent="0.25">
      <c r="A22" s="73"/>
      <c r="B22" s="74"/>
      <c r="C22" s="75" t="s">
        <v>21</v>
      </c>
      <c r="D22" s="76"/>
      <c r="E22" s="76"/>
      <c r="F22" s="79"/>
      <c r="G22" s="83"/>
      <c r="H22" s="84" t="s">
        <v>64</v>
      </c>
      <c r="I22" s="72"/>
      <c r="J22" s="72"/>
      <c r="K22" s="72"/>
      <c r="L22" s="72"/>
      <c r="M22" s="72"/>
      <c r="N22" s="71"/>
      <c r="O22" s="72"/>
      <c r="P22" s="71"/>
      <c r="Q22" s="72"/>
      <c r="R22" s="72"/>
      <c r="S22" s="72"/>
      <c r="T22" s="72"/>
      <c r="U22" s="72"/>
      <c r="V22" s="85"/>
    </row>
    <row r="23" spans="1:22" x14ac:dyDescent="0.25">
      <c r="A23" s="5"/>
      <c r="B23" s="6"/>
      <c r="C23" s="7"/>
      <c r="G23" s="83"/>
      <c r="H23" s="84" t="s">
        <v>65</v>
      </c>
      <c r="I23" s="72"/>
      <c r="J23" s="72"/>
      <c r="K23" s="72"/>
      <c r="L23" s="72"/>
      <c r="M23" s="72"/>
      <c r="N23" s="71"/>
      <c r="O23" s="72"/>
      <c r="P23" s="71"/>
      <c r="Q23" s="72"/>
      <c r="R23" s="72"/>
      <c r="S23" s="72"/>
      <c r="T23" s="72"/>
      <c r="U23" s="72"/>
      <c r="V23" s="85"/>
    </row>
    <row r="24" spans="1:22" x14ac:dyDescent="0.25">
      <c r="A24" s="5"/>
      <c r="B24" s="6"/>
      <c r="C24" s="7"/>
      <c r="G24" s="83"/>
      <c r="H24" s="84" t="s">
        <v>66</v>
      </c>
      <c r="I24" s="72"/>
      <c r="J24" s="72"/>
      <c r="K24" s="72"/>
      <c r="L24" s="72"/>
      <c r="M24" s="72"/>
      <c r="N24" s="71"/>
      <c r="O24" s="72"/>
      <c r="P24" s="71"/>
      <c r="Q24" s="72"/>
      <c r="R24" s="72"/>
      <c r="S24" s="72"/>
      <c r="T24" s="72"/>
      <c r="U24" s="72"/>
      <c r="V24" s="85"/>
    </row>
    <row r="25" spans="1:22" x14ac:dyDescent="0.25">
      <c r="G25" s="86"/>
      <c r="H25" s="87" t="s">
        <v>67</v>
      </c>
      <c r="I25" s="76"/>
      <c r="J25" s="76"/>
      <c r="K25" s="76"/>
      <c r="L25" s="76"/>
      <c r="M25" s="76"/>
      <c r="N25" s="76"/>
      <c r="O25" s="76"/>
      <c r="P25" s="76"/>
      <c r="Q25" s="76"/>
      <c r="R25" s="76"/>
      <c r="S25" s="76"/>
      <c r="T25" s="76"/>
      <c r="U25" s="76"/>
      <c r="V25" s="88"/>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Sheet1</vt:lpstr>
      <vt:lpstr>Sheet1!_Hlk519960018</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Barry</dc:creator>
  <cp:lastModifiedBy>Marie-Hélène Grillet</cp:lastModifiedBy>
  <dcterms:created xsi:type="dcterms:W3CDTF">2018-02-13T15:01:08Z</dcterms:created>
  <dcterms:modified xsi:type="dcterms:W3CDTF">2019-01-24T08:54:24Z</dcterms:modified>
</cp:coreProperties>
</file>